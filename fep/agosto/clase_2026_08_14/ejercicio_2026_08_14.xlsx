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kar_rehbein/Desktop/U/4to año/8vo semestre/fep/agosto/clase_2026_08_14/"/>
    </mc:Choice>
  </mc:AlternateContent>
  <xr:revisionPtr revIDLastSave="0" documentId="8_{73D035EF-9CD3-754A-B019-B45DBF21578E}" xr6:coauthVersionLast="47" xr6:coauthVersionMax="47" xr10:uidLastSave="{00000000-0000-0000-0000-000000000000}"/>
  <bookViews>
    <workbookView xWindow="80" yWindow="500" windowWidth="25440" windowHeight="14040" xr2:uid="{D5EEC5BB-D30C-214D-A178-8643C96A3E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3" i="1" l="1"/>
  <c r="C52" i="1"/>
  <c r="C31" i="1"/>
  <c r="H27" i="1"/>
  <c r="H23" i="1"/>
  <c r="H21" i="1"/>
  <c r="G21" i="1"/>
  <c r="F21" i="1"/>
  <c r="E21" i="1"/>
  <c r="D21" i="1"/>
  <c r="H20" i="1"/>
  <c r="G20" i="1"/>
  <c r="F20" i="1"/>
  <c r="F30" i="1" s="1"/>
  <c r="E20" i="1"/>
  <c r="D20" i="1"/>
  <c r="A41" i="1"/>
  <c r="H25" i="1" s="1"/>
  <c r="A40" i="1"/>
  <c r="H24" i="1" s="1"/>
  <c r="A39" i="1"/>
  <c r="E15" i="1"/>
  <c r="F15" i="1"/>
  <c r="G15" i="1"/>
  <c r="H15" i="1"/>
  <c r="D15" i="1"/>
  <c r="C47" i="1" s="1"/>
  <c r="H48" i="1" s="1"/>
  <c r="G4" i="1"/>
  <c r="G3" i="1"/>
  <c r="H14" i="1"/>
  <c r="G14" i="1"/>
  <c r="F14" i="1"/>
  <c r="E14" i="1"/>
  <c r="D14" i="1"/>
  <c r="G34" i="1" l="1"/>
  <c r="D48" i="1"/>
  <c r="D49" i="1" s="1"/>
  <c r="E48" i="1"/>
  <c r="E49" i="1" s="1"/>
  <c r="G48" i="1"/>
  <c r="G49" i="1" s="1"/>
  <c r="F48" i="1"/>
  <c r="D30" i="1"/>
  <c r="D31" i="1" s="1"/>
  <c r="H34" i="1"/>
  <c r="E34" i="1"/>
  <c r="F34" i="1"/>
  <c r="D34" i="1"/>
  <c r="D32" i="1"/>
  <c r="D43" i="1" s="1"/>
  <c r="E30" i="1"/>
  <c r="H29" i="1"/>
  <c r="F31" i="1"/>
  <c r="F32" i="1" s="1"/>
  <c r="F43" i="1" s="1"/>
  <c r="G30" i="1"/>
  <c r="H28" i="1"/>
  <c r="H35" i="1" s="1"/>
  <c r="F49" i="1" l="1"/>
  <c r="H49" i="1"/>
  <c r="H30" i="1"/>
  <c r="E31" i="1"/>
  <c r="E32" i="1" s="1"/>
  <c r="E43" i="1" s="1"/>
  <c r="G31" i="1"/>
  <c r="G32" i="1" s="1"/>
  <c r="G43" i="1" s="1"/>
  <c r="I49" i="1" l="1"/>
  <c r="H31" i="1"/>
  <c r="H32" i="1" s="1"/>
  <c r="H43" i="1" s="1"/>
</calcChain>
</file>

<file path=xl/sharedStrings.xml><?xml version="1.0" encoding="utf-8"?>
<sst xmlns="http://schemas.openxmlformats.org/spreadsheetml/2006/main" count="58" uniqueCount="46">
  <si>
    <t>año</t>
  </si>
  <si>
    <t>precio/m3</t>
  </si>
  <si>
    <t>produccion en m3</t>
  </si>
  <si>
    <t>precio</t>
  </si>
  <si>
    <t>produccion</t>
  </si>
  <si>
    <t>ingresos</t>
  </si>
  <si>
    <t>tasa de impuesto</t>
  </si>
  <si>
    <t>tasa inversionista</t>
  </si>
  <si>
    <t>costos po m3</t>
  </si>
  <si>
    <t>Costos operacional</t>
  </si>
  <si>
    <t>Costos Fijos</t>
  </si>
  <si>
    <t>Dependen de la produccion -&gt;</t>
  </si>
  <si>
    <t>Constantes</t>
  </si>
  <si>
    <t>Seguros</t>
  </si>
  <si>
    <t>Inversiones</t>
  </si>
  <si>
    <t>Terreno</t>
  </si>
  <si>
    <t>Planta</t>
  </si>
  <si>
    <t>Equipos</t>
  </si>
  <si>
    <t>Capital de trabajo (K)</t>
  </si>
  <si>
    <t>Salvamentos</t>
  </si>
  <si>
    <t>Depreciacion</t>
  </si>
  <si>
    <t>NO SE DEPRECIA (Pero si se anota)</t>
  </si>
  <si>
    <t>Las 2 plantas cuastan 50000</t>
  </si>
  <si>
    <t>Valor de salvamento</t>
  </si>
  <si>
    <t>Suele ser positivo</t>
  </si>
  <si>
    <t>Valor libro</t>
  </si>
  <si>
    <t>Se valoriza en el mismo valor que se compro</t>
  </si>
  <si>
    <t>Se perdio por 7500, significa reduccion de impuesto</t>
  </si>
  <si>
    <t>es -&gt; Si se vende la planta, el estado no se lleva nada, no se pagan impuesto pues la diferencia de salvamente con valor libro es negativa</t>
  </si>
  <si>
    <t>es -&gt; se pagan impuestos por 2400 si se vende el terreno</t>
  </si>
  <si>
    <t>es -&gt; la diferencia es 0, no se paga nada</t>
  </si>
  <si>
    <t>es -&gt; Mide riqueza</t>
  </si>
  <si>
    <t>Ut/Pe del ejercicio</t>
  </si>
  <si>
    <t>Utilidad o perdida</t>
  </si>
  <si>
    <t>Impuesto</t>
  </si>
  <si>
    <t>Despues imp</t>
  </si>
  <si>
    <t>V libro</t>
  </si>
  <si>
    <t>es -&gt; aquí se justifica el capital de trabajo (K)</t>
  </si>
  <si>
    <t>% Capital de trabajo</t>
  </si>
  <si>
    <t>Se recalcula K</t>
  </si>
  <si>
    <t>Necesidade de k de T</t>
  </si>
  <si>
    <t>Se paga K proporcional al primer año</t>
  </si>
  <si>
    <t>es -&gt; Cada año se recuperan al final de cada periodo, solo se paga la diferencia, seguir la siguiente fila</t>
  </si>
  <si>
    <t>Variaciones de K</t>
  </si>
  <si>
    <t>VAN</t>
  </si>
  <si>
    <t>Flujo de 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</si>
</sst>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£&quot;#,##0.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65" fontId="0" fillId="0" borderId="0" xfId="0" applyNumberFormat="1"/>
    <xf numFmtId="1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0" fontId="0" fillId="0" borderId="4" xfId="0" applyFill="1" applyBorder="1"/>
    <xf numFmtId="0" fontId="0" fillId="0" borderId="5" xfId="0" applyBorder="1"/>
    <xf numFmtId="165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6886-33AF-C34E-A46A-86E18A8682F6}">
  <dimension ref="A2:J52"/>
  <sheetViews>
    <sheetView tabSelected="1" topLeftCell="A25" workbookViewId="0">
      <selection activeCell="C45" sqref="C45"/>
    </sheetView>
  </sheetViews>
  <sheetFormatPr baseColWidth="10" defaultColWidth="16" defaultRowHeight="17" customHeight="1" x14ac:dyDescent="0.2"/>
  <cols>
    <col min="1" max="1" width="30" customWidth="1"/>
    <col min="2" max="2" width="17.83203125" customWidth="1"/>
  </cols>
  <sheetData>
    <row r="2" spans="1:9" ht="17" customHeight="1" x14ac:dyDescent="0.2">
      <c r="B2" t="s">
        <v>0</v>
      </c>
      <c r="C2" t="s">
        <v>1</v>
      </c>
      <c r="D2" t="s">
        <v>2</v>
      </c>
    </row>
    <row r="3" spans="1:9" ht="17" customHeight="1" x14ac:dyDescent="0.2">
      <c r="B3">
        <v>2027</v>
      </c>
      <c r="C3">
        <v>1800</v>
      </c>
      <c r="D3">
        <v>70</v>
      </c>
      <c r="F3" t="s">
        <v>6</v>
      </c>
      <c r="G3" s="2">
        <f>27%</f>
        <v>0.27</v>
      </c>
    </row>
    <row r="4" spans="1:9" ht="17" customHeight="1" x14ac:dyDescent="0.2">
      <c r="B4">
        <v>2028</v>
      </c>
      <c r="C4">
        <v>1800</v>
      </c>
      <c r="D4">
        <v>75</v>
      </c>
      <c r="F4" t="s">
        <v>7</v>
      </c>
      <c r="G4" s="2">
        <f>13%</f>
        <v>0.13</v>
      </c>
    </row>
    <row r="5" spans="1:9" ht="17" customHeight="1" x14ac:dyDescent="0.2">
      <c r="B5">
        <v>2029</v>
      </c>
      <c r="C5">
        <v>1800</v>
      </c>
      <c r="D5">
        <v>80</v>
      </c>
      <c r="F5" t="s">
        <v>8</v>
      </c>
      <c r="G5">
        <v>800</v>
      </c>
    </row>
    <row r="6" spans="1:9" ht="17" customHeight="1" x14ac:dyDescent="0.2">
      <c r="B6">
        <v>2030</v>
      </c>
      <c r="C6">
        <v>1800</v>
      </c>
      <c r="D6">
        <v>85</v>
      </c>
    </row>
    <row r="7" spans="1:9" ht="17" customHeight="1" x14ac:dyDescent="0.2">
      <c r="B7">
        <v>2031</v>
      </c>
      <c r="C7">
        <v>1800</v>
      </c>
      <c r="D7">
        <v>90</v>
      </c>
    </row>
    <row r="10" spans="1:9" ht="17" customHeight="1" x14ac:dyDescent="0.2">
      <c r="B10" t="s">
        <v>0</v>
      </c>
      <c r="C10">
        <v>2026</v>
      </c>
      <c r="D10">
        <v>2027</v>
      </c>
      <c r="E10">
        <v>2028</v>
      </c>
      <c r="F10">
        <v>2029</v>
      </c>
      <c r="G10">
        <v>2030</v>
      </c>
      <c r="H10">
        <v>2031</v>
      </c>
    </row>
    <row r="11" spans="1:9" ht="17" customHeight="1" x14ac:dyDescent="0.2">
      <c r="B11" t="s">
        <v>3</v>
      </c>
      <c r="D11">
        <v>1800</v>
      </c>
      <c r="E11">
        <v>1800</v>
      </c>
      <c r="F11">
        <v>1800</v>
      </c>
      <c r="G11">
        <v>1800</v>
      </c>
      <c r="H11">
        <v>1800</v>
      </c>
    </row>
    <row r="12" spans="1:9" ht="17" customHeight="1" x14ac:dyDescent="0.2">
      <c r="B12" t="s">
        <v>4</v>
      </c>
      <c r="D12">
        <v>70</v>
      </c>
      <c r="E12">
        <v>75</v>
      </c>
      <c r="F12">
        <v>80</v>
      </c>
      <c r="G12">
        <v>85</v>
      </c>
      <c r="H12">
        <v>90</v>
      </c>
    </row>
    <row r="13" spans="1:9" ht="17" customHeight="1" thickBot="1" x14ac:dyDescent="0.25"/>
    <row r="14" spans="1:9" ht="17" customHeight="1" x14ac:dyDescent="0.2">
      <c r="B14" s="3" t="s">
        <v>5</v>
      </c>
      <c r="D14" s="1">
        <f>D12*D11</f>
        <v>126000</v>
      </c>
      <c r="E14" s="1">
        <f>E12*E11</f>
        <v>135000</v>
      </c>
      <c r="F14" s="1">
        <f>F12*F11</f>
        <v>144000</v>
      </c>
      <c r="G14" s="1">
        <f>G12*G11</f>
        <v>153000</v>
      </c>
      <c r="H14" s="1">
        <f>H12*H11</f>
        <v>162000</v>
      </c>
      <c r="I14" s="1"/>
    </row>
    <row r="15" spans="1:9" ht="17" customHeight="1" x14ac:dyDescent="0.2">
      <c r="A15" t="s">
        <v>11</v>
      </c>
      <c r="B15" s="4" t="s">
        <v>9</v>
      </c>
      <c r="D15">
        <f>-D12*$G$5</f>
        <v>-56000</v>
      </c>
      <c r="E15">
        <f t="shared" ref="E15:H15" si="0">-E12*$G$5</f>
        <v>-60000</v>
      </c>
      <c r="F15">
        <f t="shared" si="0"/>
        <v>-64000</v>
      </c>
      <c r="G15">
        <f t="shared" si="0"/>
        <v>-68000</v>
      </c>
      <c r="H15">
        <f t="shared" si="0"/>
        <v>-72000</v>
      </c>
      <c r="I15" t="s">
        <v>37</v>
      </c>
    </row>
    <row r="16" spans="1:9" ht="17" customHeight="1" x14ac:dyDescent="0.2">
      <c r="A16" t="s">
        <v>12</v>
      </c>
      <c r="B16" s="4" t="s">
        <v>10</v>
      </c>
      <c r="D16">
        <v>-25000</v>
      </c>
      <c r="E16">
        <v>-25000</v>
      </c>
      <c r="F16">
        <v>-25000</v>
      </c>
      <c r="G16">
        <v>-25000</v>
      </c>
      <c r="H16">
        <v>-25000</v>
      </c>
    </row>
    <row r="17" spans="1:9" ht="17" customHeight="1" thickBot="1" x14ac:dyDescent="0.25">
      <c r="B17" s="5" t="s">
        <v>13</v>
      </c>
      <c r="D17">
        <v>-15000</v>
      </c>
      <c r="E17">
        <v>-15000</v>
      </c>
      <c r="F17">
        <v>-15000</v>
      </c>
      <c r="G17">
        <v>-15000</v>
      </c>
      <c r="H17">
        <v>-15000</v>
      </c>
    </row>
    <row r="18" spans="1:9" ht="17" customHeight="1" x14ac:dyDescent="0.2">
      <c r="B18" s="3" t="s">
        <v>20</v>
      </c>
    </row>
    <row r="19" spans="1:9" ht="17" customHeight="1" x14ac:dyDescent="0.2">
      <c r="A19" t="s">
        <v>21</v>
      </c>
      <c r="B19" s="4" t="s">
        <v>15</v>
      </c>
      <c r="D19">
        <v>0</v>
      </c>
    </row>
    <row r="20" spans="1:9" ht="17" customHeight="1" x14ac:dyDescent="0.2">
      <c r="A20" t="s">
        <v>22</v>
      </c>
      <c r="B20" s="4" t="s">
        <v>16</v>
      </c>
      <c r="D20">
        <f>$C$40/20</f>
        <v>-2500</v>
      </c>
      <c r="E20">
        <f>$C$40/20</f>
        <v>-2500</v>
      </c>
      <c r="F20">
        <f>$C$40/20</f>
        <v>-2500</v>
      </c>
      <c r="G20">
        <f>$C$40/20</f>
        <v>-2500</v>
      </c>
      <c r="H20">
        <f>$C$40/20</f>
        <v>-2500</v>
      </c>
    </row>
    <row r="21" spans="1:9" ht="17" customHeight="1" thickBot="1" x14ac:dyDescent="0.25">
      <c r="B21" s="5" t="s">
        <v>17</v>
      </c>
      <c r="D21">
        <f>$C$41/10</f>
        <v>-1300</v>
      </c>
      <c r="E21">
        <f>$C$41/10</f>
        <v>-1300</v>
      </c>
      <c r="F21">
        <f>$C$41/10</f>
        <v>-1300</v>
      </c>
      <c r="G21">
        <f>$C$41/10</f>
        <v>-1300</v>
      </c>
      <c r="H21">
        <f>$C$41/10</f>
        <v>-1300</v>
      </c>
    </row>
    <row r="22" spans="1:9" ht="17" customHeight="1" x14ac:dyDescent="0.2">
      <c r="A22" t="s">
        <v>24</v>
      </c>
      <c r="B22" s="3" t="s">
        <v>23</v>
      </c>
    </row>
    <row r="23" spans="1:9" ht="17" customHeight="1" x14ac:dyDescent="0.2">
      <c r="B23" s="4" t="s">
        <v>15</v>
      </c>
      <c r="H23">
        <f>-C39*A39</f>
        <v>14400</v>
      </c>
    </row>
    <row r="24" spans="1:9" ht="17" customHeight="1" x14ac:dyDescent="0.2">
      <c r="B24" s="4" t="s">
        <v>16</v>
      </c>
      <c r="H24">
        <f>-C40*A40</f>
        <v>30000</v>
      </c>
    </row>
    <row r="25" spans="1:9" ht="17" customHeight="1" thickBot="1" x14ac:dyDescent="0.25">
      <c r="B25" s="5" t="s">
        <v>17</v>
      </c>
      <c r="H25">
        <f>-C41*A41</f>
        <v>6500</v>
      </c>
    </row>
    <row r="26" spans="1:9" ht="17" customHeight="1" x14ac:dyDescent="0.2">
      <c r="B26" s="6" t="s">
        <v>25</v>
      </c>
      <c r="I26" t="s">
        <v>31</v>
      </c>
    </row>
    <row r="27" spans="1:9" ht="17" customHeight="1" x14ac:dyDescent="0.2">
      <c r="A27" t="s">
        <v>26</v>
      </c>
      <c r="B27" s="4" t="s">
        <v>15</v>
      </c>
      <c r="H27">
        <f>C39</f>
        <v>-12000</v>
      </c>
      <c r="I27" t="s">
        <v>29</v>
      </c>
    </row>
    <row r="28" spans="1:9" ht="17" customHeight="1" x14ac:dyDescent="0.2">
      <c r="A28" t="s">
        <v>27</v>
      </c>
      <c r="B28" s="4" t="s">
        <v>16</v>
      </c>
      <c r="H28">
        <f>C40-SUM(D20:H20)</f>
        <v>-37500</v>
      </c>
      <c r="I28" t="s">
        <v>28</v>
      </c>
    </row>
    <row r="29" spans="1:9" ht="17" customHeight="1" x14ac:dyDescent="0.2">
      <c r="B29" s="4" t="s">
        <v>17</v>
      </c>
      <c r="H29">
        <f>C41-SUM(D21:H21)</f>
        <v>-6500</v>
      </c>
      <c r="I29" t="s">
        <v>30</v>
      </c>
    </row>
    <row r="30" spans="1:9" ht="17" customHeight="1" x14ac:dyDescent="0.2">
      <c r="A30" t="s">
        <v>33</v>
      </c>
      <c r="B30" s="7" t="s">
        <v>32</v>
      </c>
      <c r="C30" s="8"/>
      <c r="D30" s="9">
        <f>SUM(D14:D29)</f>
        <v>26200</v>
      </c>
      <c r="E30" s="9">
        <f>SUM(E14:E29)</f>
        <v>31200</v>
      </c>
      <c r="F30" s="9">
        <f>SUM(F14:F29)</f>
        <v>36200</v>
      </c>
      <c r="G30" s="9">
        <f>SUM(G14:G29)</f>
        <v>41200</v>
      </c>
      <c r="H30" s="9">
        <f>SUM(H14:H29)</f>
        <v>41100</v>
      </c>
    </row>
    <row r="31" spans="1:9" ht="17" customHeight="1" x14ac:dyDescent="0.2">
      <c r="B31" s="6" t="s">
        <v>34</v>
      </c>
      <c r="C31">
        <f>27%</f>
        <v>0.27</v>
      </c>
      <c r="D31" s="1">
        <f>-$C$31*D30</f>
        <v>-7074.0000000000009</v>
      </c>
      <c r="E31" s="1">
        <f t="shared" ref="E31:H31" si="1">-$C$31*E30</f>
        <v>-8424</v>
      </c>
      <c r="F31" s="1">
        <f t="shared" si="1"/>
        <v>-9774</v>
      </c>
      <c r="G31" s="1">
        <f t="shared" si="1"/>
        <v>-11124</v>
      </c>
      <c r="H31" s="1">
        <f t="shared" si="1"/>
        <v>-11097</v>
      </c>
    </row>
    <row r="32" spans="1:9" ht="17" customHeight="1" x14ac:dyDescent="0.2">
      <c r="B32" s="6" t="s">
        <v>35</v>
      </c>
      <c r="D32" s="1">
        <f>SUM(D30:D31)</f>
        <v>19126</v>
      </c>
      <c r="E32" s="1">
        <f>SUM(E30:E31)</f>
        <v>22776</v>
      </c>
      <c r="F32" s="1">
        <f>SUM(F30:F31)</f>
        <v>26426</v>
      </c>
      <c r="G32" s="1">
        <f>SUM(G30:G31)</f>
        <v>30076</v>
      </c>
      <c r="H32" s="1">
        <f>SUM(H30:H31)</f>
        <v>30003</v>
      </c>
    </row>
    <row r="34" spans="1:10" ht="17" customHeight="1" x14ac:dyDescent="0.2">
      <c r="B34" t="s">
        <v>20</v>
      </c>
      <c r="D34">
        <f>-SUM(D19:D21)</f>
        <v>3800</v>
      </c>
      <c r="E34">
        <f>-SUM(E19:E21)</f>
        <v>3800</v>
      </c>
      <c r="F34">
        <f>-SUM(F19:F21)</f>
        <v>3800</v>
      </c>
      <c r="G34">
        <f>-SUM(G19:G21)</f>
        <v>3800</v>
      </c>
      <c r="H34">
        <f>-SUM(H19:H21)</f>
        <v>3800</v>
      </c>
    </row>
    <row r="35" spans="1:10" ht="17" customHeight="1" x14ac:dyDescent="0.2">
      <c r="B35" t="s">
        <v>36</v>
      </c>
      <c r="H35">
        <f>-SUM(H27:H29)</f>
        <v>56000</v>
      </c>
    </row>
    <row r="37" spans="1:10" ht="17" customHeight="1" thickBot="1" x14ac:dyDescent="0.25"/>
    <row r="38" spans="1:10" ht="17" customHeight="1" x14ac:dyDescent="0.2">
      <c r="A38" s="3" t="s">
        <v>19</v>
      </c>
      <c r="B38" t="s">
        <v>14</v>
      </c>
    </row>
    <row r="39" spans="1:10" ht="17" customHeight="1" x14ac:dyDescent="0.2">
      <c r="A39" s="4">
        <f>120%</f>
        <v>1.2</v>
      </c>
      <c r="B39" t="s">
        <v>15</v>
      </c>
      <c r="C39">
        <v>-12000</v>
      </c>
    </row>
    <row r="40" spans="1:10" ht="17" customHeight="1" x14ac:dyDescent="0.2">
      <c r="A40" s="4">
        <f>60%</f>
        <v>0.6</v>
      </c>
      <c r="B40" t="s">
        <v>16</v>
      </c>
      <c r="C40">
        <v>-50000</v>
      </c>
    </row>
    <row r="41" spans="1:10" ht="17" customHeight="1" x14ac:dyDescent="0.2">
      <c r="A41" s="4">
        <f>50%</f>
        <v>0.5</v>
      </c>
      <c r="B41" t="s">
        <v>17</v>
      </c>
      <c r="C41">
        <v>-13000</v>
      </c>
    </row>
    <row r="42" spans="1:10" ht="17" customHeight="1" thickBot="1" x14ac:dyDescent="0.25">
      <c r="A42" s="5"/>
      <c r="B42" t="s">
        <v>18</v>
      </c>
      <c r="C42">
        <v>-14000</v>
      </c>
      <c r="D42">
        <v>-1000</v>
      </c>
      <c r="E42">
        <v>-1000</v>
      </c>
      <c r="F42">
        <v>-1000</v>
      </c>
      <c r="G42">
        <v>-1000</v>
      </c>
      <c r="H42">
        <v>18000</v>
      </c>
    </row>
    <row r="43" spans="1:10" ht="17" customHeight="1" x14ac:dyDescent="0.2">
      <c r="B43" t="s">
        <v>45</v>
      </c>
      <c r="C43" s="1">
        <f>SUM(C32:C42)</f>
        <v>-89000</v>
      </c>
      <c r="D43" s="1">
        <f>SUM(D32:D42)</f>
        <v>21926</v>
      </c>
      <c r="E43" s="1">
        <f>SUM(E32:E42)</f>
        <v>25576</v>
      </c>
      <c r="F43" s="1">
        <f>SUM(F32:F42)</f>
        <v>29226</v>
      </c>
      <c r="G43" s="1">
        <f>SUM(G32:G42)</f>
        <v>32876</v>
      </c>
      <c r="H43" s="1">
        <f>SUM(H32:H42)</f>
        <v>107803</v>
      </c>
      <c r="I43" s="1"/>
    </row>
    <row r="45" spans="1:10" ht="17" customHeight="1" x14ac:dyDescent="0.2">
      <c r="B45" t="s">
        <v>44</v>
      </c>
    </row>
    <row r="47" spans="1:10" ht="17" customHeight="1" x14ac:dyDescent="0.2">
      <c r="A47" t="s">
        <v>39</v>
      </c>
      <c r="B47" t="s">
        <v>38</v>
      </c>
      <c r="C47">
        <f>C42/D15</f>
        <v>0.25</v>
      </c>
    </row>
    <row r="48" spans="1:10" ht="17" customHeight="1" x14ac:dyDescent="0.2">
      <c r="A48" t="s">
        <v>41</v>
      </c>
      <c r="B48" t="s">
        <v>40</v>
      </c>
      <c r="D48">
        <f>$C$47*D15</f>
        <v>-14000</v>
      </c>
      <c r="E48">
        <f>$C$47*E15</f>
        <v>-15000</v>
      </c>
      <c r="F48">
        <f>$C$47*F15</f>
        <v>-16000</v>
      </c>
      <c r="G48">
        <f>$C$47*G15</f>
        <v>-17000</v>
      </c>
      <c r="H48">
        <f>$C$47*H15</f>
        <v>-18000</v>
      </c>
      <c r="J48" t="s">
        <v>42</v>
      </c>
    </row>
    <row r="49" spans="2:9" ht="17" customHeight="1" x14ac:dyDescent="0.2">
      <c r="B49" t="s">
        <v>43</v>
      </c>
      <c r="D49">
        <f>D48</f>
        <v>-14000</v>
      </c>
      <c r="E49">
        <f>E48-D48</f>
        <v>-1000</v>
      </c>
      <c r="F49">
        <f>F48-E48</f>
        <v>-1000</v>
      </c>
      <c r="G49">
        <f>G48-F48</f>
        <v>-1000</v>
      </c>
      <c r="H49">
        <f>H48-G48</f>
        <v>-1000</v>
      </c>
      <c r="I49">
        <f>-SUM(D49:H49)</f>
        <v>18000</v>
      </c>
    </row>
    <row r="52" spans="2:9" ht="17" customHeight="1" x14ac:dyDescent="0.2">
      <c r="B52" t="s">
        <v>44</v>
      </c>
      <c r="C52">
        <f>13%</f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REHBEIN PAREDES</dc:creator>
  <cp:lastModifiedBy>OSKAR REHBEIN PAREDES</cp:lastModifiedBy>
  <dcterms:created xsi:type="dcterms:W3CDTF">2026-08-14T15:06:05Z</dcterms:created>
  <dcterms:modified xsi:type="dcterms:W3CDTF">2026-08-17T13:29:46Z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2026-08-17T13:28:57Z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cae5f202-ed71-4cde-9205-2ecb7eaef3b8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50, 3, 0, 1</vt:lpwstr>
  </property>
</Properties>
</file>