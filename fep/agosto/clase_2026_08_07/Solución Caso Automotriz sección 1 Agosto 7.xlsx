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ses USS\2do Semestre 2026\FEP 2026\"/>
    </mc:Choice>
  </mc:AlternateContent>
  <xr:revisionPtr revIDLastSave="0" documentId="13_ncr:1_{EA75B70D-B2F0-47AD-A318-392220F1A012}" xr6:coauthVersionLast="47" xr6:coauthVersionMax="47" xr10:uidLastSave="{00000000-0000-0000-0000-000000000000}"/>
  <bookViews>
    <workbookView xWindow="-110" yWindow="-110" windowWidth="19420" windowHeight="10300" activeTab="1" xr2:uid="{90DAFF80-2558-465D-BB56-F0ED0A175FF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6" i="2" l="1"/>
  <c r="R18" i="2" s="1"/>
  <c r="S6" i="2"/>
  <c r="T6" i="2"/>
  <c r="U6" i="2"/>
  <c r="V6" i="2"/>
  <c r="W6" i="2"/>
  <c r="S7" i="2"/>
  <c r="T7" i="2"/>
  <c r="U7" i="2"/>
  <c r="V7" i="2"/>
  <c r="W7" i="2"/>
  <c r="S8" i="2"/>
  <c r="T8" i="2"/>
  <c r="U8" i="2"/>
  <c r="V8" i="2"/>
  <c r="W8" i="2"/>
  <c r="S9" i="2"/>
  <c r="T9" i="2"/>
  <c r="U9" i="2"/>
  <c r="V9" i="2"/>
  <c r="W9" i="2"/>
  <c r="S10" i="2"/>
  <c r="T10" i="2"/>
  <c r="U10" i="2"/>
  <c r="V10" i="2"/>
  <c r="W10" i="2"/>
  <c r="S11" i="2"/>
  <c r="T11" i="2"/>
  <c r="U11" i="2"/>
  <c r="V11" i="2"/>
  <c r="W11" i="2"/>
  <c r="S12" i="2"/>
  <c r="T12" i="2"/>
  <c r="U12" i="2"/>
  <c r="V12" i="2"/>
  <c r="W12" i="2"/>
  <c r="S13" i="2"/>
  <c r="T13" i="2"/>
  <c r="U13" i="2"/>
  <c r="V13" i="2"/>
  <c r="W13" i="2"/>
  <c r="S14" i="2"/>
  <c r="T14" i="2"/>
  <c r="U14" i="2"/>
  <c r="V14" i="2"/>
  <c r="W14" i="2"/>
  <c r="S15" i="2"/>
  <c r="T15" i="2"/>
  <c r="U15" i="2"/>
  <c r="V15" i="2"/>
  <c r="W15" i="2"/>
  <c r="S16" i="2"/>
  <c r="T16" i="2"/>
  <c r="U16" i="2"/>
  <c r="V16" i="2"/>
  <c r="W16" i="2"/>
  <c r="T5" i="2"/>
  <c r="U5" i="2"/>
  <c r="V5" i="2"/>
  <c r="W5" i="2"/>
  <c r="O7" i="2"/>
  <c r="N7" i="2"/>
  <c r="L7" i="2"/>
  <c r="M7" i="2"/>
  <c r="K7" i="2"/>
  <c r="O6" i="2"/>
  <c r="N6" i="2"/>
  <c r="L6" i="2"/>
  <c r="M6" i="2"/>
  <c r="K6" i="2"/>
  <c r="L5" i="2"/>
  <c r="K5" i="2"/>
  <c r="O5" i="2"/>
  <c r="N5" i="2"/>
  <c r="O9" i="2"/>
  <c r="G9" i="2"/>
  <c r="M5" i="2"/>
  <c r="C5" i="2"/>
  <c r="S17" i="2"/>
  <c r="T17" i="2"/>
  <c r="U17" i="2"/>
  <c r="V17" i="2"/>
  <c r="W17" i="2"/>
  <c r="W3" i="2"/>
  <c r="V3" i="2"/>
  <c r="J18" i="2"/>
  <c r="O14" i="2"/>
  <c r="K8" i="2"/>
  <c r="L8" i="2" s="1"/>
  <c r="O3" i="2"/>
  <c r="N3" i="2"/>
  <c r="B18" i="2"/>
  <c r="C8" i="2"/>
  <c r="D8" i="2" s="1"/>
  <c r="D15" i="2" s="1"/>
  <c r="G14" i="2"/>
  <c r="D7" i="2"/>
  <c r="E7" i="2"/>
  <c r="C7" i="2"/>
  <c r="D6" i="2"/>
  <c r="E6" i="2"/>
  <c r="C6" i="2"/>
  <c r="D5" i="2"/>
  <c r="E5" i="2"/>
  <c r="F3" i="2"/>
  <c r="F6" i="2" s="1"/>
  <c r="G15" i="1"/>
  <c r="G16" i="1"/>
  <c r="G14" i="1"/>
  <c r="F15" i="1"/>
  <c r="F16" i="1"/>
  <c r="F14" i="1"/>
  <c r="G10" i="1"/>
  <c r="G11" i="1"/>
  <c r="G9" i="1"/>
  <c r="F10" i="1"/>
  <c r="F11" i="1"/>
  <c r="F9" i="1"/>
  <c r="C10" i="1"/>
  <c r="C9" i="1"/>
  <c r="D10" i="1"/>
  <c r="B11" i="1"/>
  <c r="B10" i="1"/>
  <c r="B9" i="1"/>
  <c r="S5" i="2" l="1"/>
  <c r="K15" i="2"/>
  <c r="K10" i="2"/>
  <c r="L10" i="2"/>
  <c r="M8" i="2"/>
  <c r="L15" i="2"/>
  <c r="M10" i="2"/>
  <c r="O10" i="2"/>
  <c r="G3" i="2"/>
  <c r="F7" i="2"/>
  <c r="F5" i="2"/>
  <c r="C15" i="2"/>
  <c r="C10" i="2"/>
  <c r="D10" i="2"/>
  <c r="D11" i="2" s="1"/>
  <c r="D12" i="2" s="1"/>
  <c r="D18" i="2" s="1"/>
  <c r="E8" i="2"/>
  <c r="E15" i="2" l="1"/>
  <c r="L11" i="2"/>
  <c r="K11" i="2"/>
  <c r="O11" i="2"/>
  <c r="O12" i="2" s="1"/>
  <c r="O18" i="2" s="1"/>
  <c r="M11" i="2"/>
  <c r="N8" i="2"/>
  <c r="M15" i="2"/>
  <c r="C11" i="2"/>
  <c r="C12" i="2" s="1"/>
  <c r="C18" i="2" s="1"/>
  <c r="G6" i="2"/>
  <c r="G5" i="2"/>
  <c r="G7" i="2"/>
  <c r="E10" i="2"/>
  <c r="F8" i="2"/>
  <c r="G10" i="2" l="1"/>
  <c r="M12" i="2"/>
  <c r="L12" i="2"/>
  <c r="K12" i="2"/>
  <c r="N15" i="2"/>
  <c r="N10" i="2"/>
  <c r="F10" i="2"/>
  <c r="F11" i="2" s="1"/>
  <c r="F12" i="2" s="1"/>
  <c r="F15" i="2"/>
  <c r="E11" i="2"/>
  <c r="E12" i="2" s="1"/>
  <c r="E18" i="2" s="1"/>
  <c r="G11" i="2" l="1"/>
  <c r="G12" i="2" s="1"/>
  <c r="L18" i="2"/>
  <c r="T18" i="2" s="1"/>
  <c r="M18" i="2"/>
  <c r="U18" i="2" s="1"/>
  <c r="K18" i="2"/>
  <c r="S18" i="2" s="1"/>
  <c r="F18" i="2"/>
  <c r="N11" i="2"/>
  <c r="G18" i="2" l="1"/>
  <c r="W18" i="2" s="1"/>
  <c r="N12" i="2"/>
  <c r="B20" i="2" l="1"/>
  <c r="N18" i="2"/>
  <c r="V18" i="2" l="1"/>
  <c r="R20" i="2" s="1"/>
  <c r="J20" i="2"/>
</calcChain>
</file>

<file path=xl/sharedStrings.xml><?xml version="1.0" encoding="utf-8"?>
<sst xmlns="http://schemas.openxmlformats.org/spreadsheetml/2006/main" count="56" uniqueCount="29">
  <si>
    <t>Cajetilla</t>
  </si>
  <si>
    <t>Económica</t>
  </si>
  <si>
    <t>Media</t>
  </si>
  <si>
    <t>Alta</t>
  </si>
  <si>
    <t>Interés cuenta de ahorro mensual</t>
  </si>
  <si>
    <t>Tiempo</t>
  </si>
  <si>
    <t>42 años</t>
  </si>
  <si>
    <t>meses</t>
  </si>
  <si>
    <t>Gasto mensual</t>
  </si>
  <si>
    <t>Al 1%</t>
  </si>
  <si>
    <t>Al 0,5%</t>
  </si>
  <si>
    <t>Alternativa 1</t>
  </si>
  <si>
    <t>Inversión</t>
  </si>
  <si>
    <t>N° de Vehículos</t>
  </si>
  <si>
    <t>Consumo eléctrico</t>
  </si>
  <si>
    <t>M de O</t>
  </si>
  <si>
    <t>Costo Insumos</t>
  </si>
  <si>
    <t>Depreciación</t>
  </si>
  <si>
    <t>V. Salvamento</t>
  </si>
  <si>
    <t>Ahorro en Impuesto</t>
  </si>
  <si>
    <t>Utilidad / PeAntes de Impuesto</t>
  </si>
  <si>
    <t>Utilidad/Pe despues de Impuesto</t>
  </si>
  <si>
    <t>Depreciación'</t>
  </si>
  <si>
    <t>V. Libro</t>
  </si>
  <si>
    <t>FC=</t>
  </si>
  <si>
    <t>VAN(13%)=</t>
  </si>
  <si>
    <t>Alternativa 2</t>
  </si>
  <si>
    <t>Van Marginal</t>
  </si>
  <si>
    <t>VAC(13%)=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</si>
</sst>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0" fontId="0" fillId="0" borderId="0" xfId="0" applyNumberFormat="1"/>
    <xf numFmtId="3" fontId="0" fillId="0" borderId="0" xfId="0" applyNumberFormat="1"/>
    <xf numFmtId="6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335896</xdr:colOff>
      <xdr:row>6</xdr:row>
      <xdr:rowOff>171516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27D966-6B35-B50A-0010-BB39056C3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21503" cy="12764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C261-3098-4342-811D-4F43DFC13047}">
  <dimension ref="A8:G16"/>
  <sheetViews>
    <sheetView topLeftCell="A7" zoomScale="140" zoomScaleNormal="140" workbookViewId="0">
      <selection activeCell="C12" sqref="C12"/>
    </sheetView>
  </sheetViews>
  <sheetFormatPr baseColWidth="10" defaultRowHeight="14.5" x14ac:dyDescent="0.35"/>
  <cols>
    <col min="6" max="6" width="11.08984375" bestFit="1" customWidth="1"/>
    <col min="7" max="7" width="14.26953125" bestFit="1" customWidth="1"/>
  </cols>
  <sheetData>
    <row r="8" spans="1:7" x14ac:dyDescent="0.35">
      <c r="A8" t="s">
        <v>0</v>
      </c>
      <c r="C8" t="s">
        <v>8</v>
      </c>
      <c r="D8" t="s">
        <v>5</v>
      </c>
      <c r="F8" t="s">
        <v>9</v>
      </c>
    </row>
    <row r="9" spans="1:7" x14ac:dyDescent="0.35">
      <c r="A9" t="s">
        <v>1</v>
      </c>
      <c r="B9">
        <f>(2700+3800)/2</f>
        <v>3250</v>
      </c>
      <c r="C9">
        <f>B9/20*30</f>
        <v>4875</v>
      </c>
      <c r="D9" t="s">
        <v>6</v>
      </c>
      <c r="F9" s="3">
        <f>C9*((1+$A$14)^$D$10-1)/$A$14</f>
        <v>72954924.671925142</v>
      </c>
      <c r="G9" s="4">
        <f>-FV($A$14,$D$10,C9)</f>
        <v>72954924.671925142</v>
      </c>
    </row>
    <row r="10" spans="1:7" x14ac:dyDescent="0.35">
      <c r="A10" t="s">
        <v>2</v>
      </c>
      <c r="B10">
        <f>(4200+4800)/2</f>
        <v>4500</v>
      </c>
      <c r="C10">
        <f t="shared" ref="C10" si="0">B10/20*30</f>
        <v>6750</v>
      </c>
      <c r="D10">
        <f>42*12</f>
        <v>504</v>
      </c>
      <c r="E10" t="s">
        <v>7</v>
      </c>
      <c r="F10" s="3">
        <f t="shared" ref="F10:F11" si="1">C10*((1+$A$14)^$D$10-1)/$A$14</f>
        <v>101014511.08420403</v>
      </c>
      <c r="G10" s="4">
        <f t="shared" ref="G10:G11" si="2">-FV($A$14,$D$10,C10)</f>
        <v>101014511.08420403</v>
      </c>
    </row>
    <row r="11" spans="1:7" x14ac:dyDescent="0.35">
      <c r="A11" t="s">
        <v>3</v>
      </c>
      <c r="B11">
        <f>(5300+6200)/2</f>
        <v>5750</v>
      </c>
      <c r="C11">
        <v>20000</v>
      </c>
      <c r="F11" s="3">
        <f t="shared" si="1"/>
        <v>299302255.06430829</v>
      </c>
      <c r="G11" s="4">
        <f t="shared" si="2"/>
        <v>299302255.06430829</v>
      </c>
    </row>
    <row r="13" spans="1:7" x14ac:dyDescent="0.35">
      <c r="A13" t="s">
        <v>4</v>
      </c>
      <c r="F13" t="s">
        <v>10</v>
      </c>
    </row>
    <row r="14" spans="1:7" x14ac:dyDescent="0.35">
      <c r="A14" s="1">
        <v>0.01</v>
      </c>
      <c r="F14" s="3">
        <f>C9*((1+$A$15)^$D$10-1)/$A$15</f>
        <v>11067031.002615314</v>
      </c>
      <c r="G14" s="4">
        <f>-FV($A$15,$D$10,C9)</f>
        <v>11067031.002615314</v>
      </c>
    </row>
    <row r="15" spans="1:7" x14ac:dyDescent="0.35">
      <c r="A15" s="2">
        <v>5.0000000000000001E-3</v>
      </c>
      <c r="F15" s="3">
        <f t="shared" ref="F15:F16" si="3">C10*((1+$A$15)^$D$10-1)/$A$15</f>
        <v>15323581.388236588</v>
      </c>
      <c r="G15" s="4">
        <f t="shared" ref="G15:G16" si="4">-FV($A$15,$D$10,C10)</f>
        <v>15323581.388236588</v>
      </c>
    </row>
    <row r="16" spans="1:7" x14ac:dyDescent="0.35">
      <c r="F16" s="3">
        <f t="shared" si="3"/>
        <v>45403204.113293596</v>
      </c>
      <c r="G16" s="4">
        <f t="shared" si="4"/>
        <v>45403204.113293596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C4ED-342C-4A7F-85D6-C6AA9970CB43}">
  <dimension ref="A1:W20"/>
  <sheetViews>
    <sheetView tabSelected="1" topLeftCell="M11" zoomScale="130" zoomScaleNormal="130" workbookViewId="0">
      <selection activeCell="S5" sqref="S5"/>
    </sheetView>
  </sheetViews>
  <sheetFormatPr baseColWidth="10" defaultRowHeight="14.5" x14ac:dyDescent="0.35"/>
  <cols>
    <col min="1" max="16384" width="10.90625" style="3"/>
  </cols>
  <sheetData>
    <row r="1" spans="1:23" x14ac:dyDescent="0.35">
      <c r="A1" s="7" t="s">
        <v>11</v>
      </c>
      <c r="I1" s="7" t="s">
        <v>26</v>
      </c>
      <c r="Q1" s="3" t="s">
        <v>27</v>
      </c>
    </row>
    <row r="2" spans="1:23" x14ac:dyDescent="0.35"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J2" s="3">
        <v>0</v>
      </c>
      <c r="K2" s="3">
        <v>1</v>
      </c>
      <c r="L2" s="3">
        <v>2</v>
      </c>
      <c r="M2" s="3">
        <v>3</v>
      </c>
      <c r="N2" s="3">
        <v>4</v>
      </c>
      <c r="O2" s="3">
        <v>5</v>
      </c>
      <c r="R2" s="3">
        <v>0</v>
      </c>
      <c r="S2" s="3">
        <v>1</v>
      </c>
      <c r="T2" s="3">
        <v>2</v>
      </c>
      <c r="U2" s="3">
        <v>3</v>
      </c>
      <c r="V2" s="3">
        <v>4</v>
      </c>
      <c r="W2" s="3">
        <v>5</v>
      </c>
    </row>
    <row r="3" spans="1:23" x14ac:dyDescent="0.35">
      <c r="A3" s="3" t="s">
        <v>13</v>
      </c>
      <c r="C3" s="3">
        <v>200</v>
      </c>
      <c r="D3" s="3">
        <v>200</v>
      </c>
      <c r="E3" s="3">
        <v>200</v>
      </c>
      <c r="F3" s="3">
        <f>E3*1.25</f>
        <v>250</v>
      </c>
      <c r="G3" s="3">
        <f>F3*1.25</f>
        <v>312.5</v>
      </c>
      <c r="I3" s="3" t="s">
        <v>13</v>
      </c>
      <c r="K3" s="3">
        <v>200</v>
      </c>
      <c r="L3" s="3">
        <v>200</v>
      </c>
      <c r="M3" s="3">
        <v>200</v>
      </c>
      <c r="N3" s="3">
        <f>M3*1.25</f>
        <v>250</v>
      </c>
      <c r="O3" s="3">
        <f>N3*1.25</f>
        <v>312.5</v>
      </c>
      <c r="Q3" s="3" t="s">
        <v>13</v>
      </c>
      <c r="S3" s="3">
        <v>200</v>
      </c>
      <c r="T3" s="3">
        <v>200</v>
      </c>
      <c r="U3" s="3">
        <v>200</v>
      </c>
      <c r="V3" s="3">
        <f>U3*1.25</f>
        <v>250</v>
      </c>
      <c r="W3" s="3">
        <f>V3*1.25</f>
        <v>312.5</v>
      </c>
    </row>
    <row r="5" spans="1:23" x14ac:dyDescent="0.35">
      <c r="A5" s="3" t="s">
        <v>14</v>
      </c>
      <c r="B5" s="5">
        <v>0.8</v>
      </c>
      <c r="C5" s="3">
        <f>-$B$5*C3</f>
        <v>-160</v>
      </c>
      <c r="D5" s="3">
        <f t="shared" ref="D5:G5" si="0">-$B$5*D3</f>
        <v>-160</v>
      </c>
      <c r="E5" s="3">
        <f t="shared" si="0"/>
        <v>-160</v>
      </c>
      <c r="F5" s="3">
        <f t="shared" si="0"/>
        <v>-200</v>
      </c>
      <c r="G5" s="3">
        <f t="shared" si="0"/>
        <v>-250</v>
      </c>
      <c r="I5" s="3" t="s">
        <v>14</v>
      </c>
      <c r="J5" s="5">
        <v>0.5</v>
      </c>
      <c r="K5" s="3">
        <f>-$J$5*K3</f>
        <v>-100</v>
      </c>
      <c r="L5" s="3">
        <f>-$J$5*L3</f>
        <v>-100</v>
      </c>
      <c r="M5" s="3">
        <f t="shared" ref="L5:M5" si="1">-$J$5*M3</f>
        <v>-100</v>
      </c>
      <c r="N5" s="3">
        <f>-$J$5*N3*0.9</f>
        <v>-112.5</v>
      </c>
      <c r="O5" s="3">
        <f>-$J$5*O3*0.9</f>
        <v>-140.625</v>
      </c>
      <c r="Q5" s="3" t="s">
        <v>14</v>
      </c>
      <c r="R5" s="5"/>
      <c r="S5" s="3">
        <f>K5-C5</f>
        <v>60</v>
      </c>
      <c r="T5" s="3">
        <f t="shared" ref="T5:W5" si="2">L5-D5</f>
        <v>60</v>
      </c>
      <c r="U5" s="3">
        <f t="shared" si="2"/>
        <v>60</v>
      </c>
      <c r="V5" s="3">
        <f t="shared" si="2"/>
        <v>87.5</v>
      </c>
      <c r="W5" s="3">
        <f t="shared" si="2"/>
        <v>109.375</v>
      </c>
    </row>
    <row r="6" spans="1:23" x14ac:dyDescent="0.35">
      <c r="A6" s="3" t="s">
        <v>15</v>
      </c>
      <c r="B6" s="3">
        <v>3</v>
      </c>
      <c r="C6" s="3">
        <f>-$B$6*C3</f>
        <v>-600</v>
      </c>
      <c r="D6" s="3">
        <f t="shared" ref="D6:G6" si="3">-$B$6*D3</f>
        <v>-600</v>
      </c>
      <c r="E6" s="3">
        <f t="shared" si="3"/>
        <v>-600</v>
      </c>
      <c r="F6" s="3">
        <f t="shared" si="3"/>
        <v>-750</v>
      </c>
      <c r="G6" s="3">
        <f t="shared" si="3"/>
        <v>-937.5</v>
      </c>
      <c r="I6" s="3" t="s">
        <v>15</v>
      </c>
      <c r="J6" s="3">
        <v>2.5</v>
      </c>
      <c r="K6" s="3">
        <f>-$J$6*K3</f>
        <v>-500</v>
      </c>
      <c r="L6" s="3">
        <f t="shared" ref="L6:M6" si="4">-$J$6*L3</f>
        <v>-500</v>
      </c>
      <c r="M6" s="3">
        <f t="shared" si="4"/>
        <v>-500</v>
      </c>
      <c r="N6" s="3">
        <f>-$J$6*N3*0.9</f>
        <v>-562.5</v>
      </c>
      <c r="O6" s="3">
        <f>-$J$6*O3*0.9</f>
        <v>-703.125</v>
      </c>
      <c r="Q6" s="3" t="s">
        <v>15</v>
      </c>
      <c r="S6" s="3">
        <f t="shared" ref="R6:S16" si="5">K6-C6</f>
        <v>100</v>
      </c>
      <c r="T6" s="3">
        <f t="shared" ref="T6:T16" si="6">L6-D6</f>
        <v>100</v>
      </c>
      <c r="U6" s="3">
        <f t="shared" ref="U6:U16" si="7">M6-E6</f>
        <v>100</v>
      </c>
      <c r="V6" s="3">
        <f t="shared" ref="V6:V16" si="8">N6-F6</f>
        <v>187.5</v>
      </c>
      <c r="W6" s="3">
        <f t="shared" ref="W6:W16" si="9">O6-G6</f>
        <v>234.375</v>
      </c>
    </row>
    <row r="7" spans="1:23" x14ac:dyDescent="0.35">
      <c r="A7" s="3" t="s">
        <v>16</v>
      </c>
      <c r="B7" s="5">
        <v>5.4</v>
      </c>
      <c r="C7" s="3">
        <f>-$B$7*C3</f>
        <v>-1080</v>
      </c>
      <c r="D7" s="3">
        <f t="shared" ref="D7:G7" si="10">-$B$7*D3</f>
        <v>-1080</v>
      </c>
      <c r="E7" s="3">
        <f t="shared" si="10"/>
        <v>-1080</v>
      </c>
      <c r="F7" s="3">
        <f t="shared" si="10"/>
        <v>-1350</v>
      </c>
      <c r="G7" s="3">
        <f t="shared" si="10"/>
        <v>-1687.5</v>
      </c>
      <c r="I7" s="3" t="s">
        <v>16</v>
      </c>
      <c r="J7" s="5">
        <v>5.2</v>
      </c>
      <c r="K7" s="3">
        <f>-$J$7*K3</f>
        <v>-1040</v>
      </c>
      <c r="L7" s="3">
        <f t="shared" ref="L7:M7" si="11">-$J$7*L3</f>
        <v>-1040</v>
      </c>
      <c r="M7" s="3">
        <f t="shared" si="11"/>
        <v>-1040</v>
      </c>
      <c r="N7" s="3">
        <f>-$J$7*N3*0.9</f>
        <v>-1170</v>
      </c>
      <c r="O7" s="3">
        <f>-$J$7*O3*0.9</f>
        <v>-1462.5</v>
      </c>
      <c r="Q7" s="3" t="s">
        <v>16</v>
      </c>
      <c r="R7" s="5"/>
      <c r="S7" s="3">
        <f t="shared" si="5"/>
        <v>40</v>
      </c>
      <c r="T7" s="3">
        <f t="shared" si="6"/>
        <v>40</v>
      </c>
      <c r="U7" s="3">
        <f t="shared" si="7"/>
        <v>40</v>
      </c>
      <c r="V7" s="3">
        <f t="shared" si="8"/>
        <v>180</v>
      </c>
      <c r="W7" s="3">
        <f t="shared" si="9"/>
        <v>225</v>
      </c>
    </row>
    <row r="8" spans="1:23" x14ac:dyDescent="0.35">
      <c r="A8" s="3" t="s">
        <v>17</v>
      </c>
      <c r="C8" s="3">
        <f>B16/4</f>
        <v>-500</v>
      </c>
      <c r="D8" s="3">
        <f>C8</f>
        <v>-500</v>
      </c>
      <c r="E8" s="3">
        <f t="shared" ref="E8:F8" si="12">D8</f>
        <v>-500</v>
      </c>
      <c r="F8" s="3">
        <f t="shared" si="12"/>
        <v>-500</v>
      </c>
      <c r="I8" s="3" t="s">
        <v>17</v>
      </c>
      <c r="K8" s="3">
        <f>J16/4</f>
        <v>-875</v>
      </c>
      <c r="L8" s="3">
        <f>K8</f>
        <v>-875</v>
      </c>
      <c r="M8" s="3">
        <f t="shared" ref="M8:N8" si="13">L8</f>
        <v>-875</v>
      </c>
      <c r="N8" s="3">
        <f t="shared" si="13"/>
        <v>-875</v>
      </c>
      <c r="Q8" s="3" t="s">
        <v>17</v>
      </c>
      <c r="S8" s="3">
        <f t="shared" si="5"/>
        <v>-375</v>
      </c>
      <c r="T8" s="3">
        <f t="shared" si="6"/>
        <v>-375</v>
      </c>
      <c r="U8" s="3">
        <f t="shared" si="7"/>
        <v>-375</v>
      </c>
      <c r="V8" s="3">
        <f t="shared" si="8"/>
        <v>-375</v>
      </c>
      <c r="W8" s="3">
        <f t="shared" si="9"/>
        <v>0</v>
      </c>
    </row>
    <row r="9" spans="1:23" x14ac:dyDescent="0.35">
      <c r="A9" s="3" t="s">
        <v>18</v>
      </c>
      <c r="G9" s="3">
        <f>-B16*0.3</f>
        <v>600</v>
      </c>
      <c r="I9" s="3" t="s">
        <v>18</v>
      </c>
      <c r="O9" s="3">
        <f>-J16*0.5</f>
        <v>1750</v>
      </c>
      <c r="Q9" s="3" t="s">
        <v>18</v>
      </c>
      <c r="S9" s="3">
        <f t="shared" si="5"/>
        <v>0</v>
      </c>
      <c r="T9" s="3">
        <f t="shared" si="6"/>
        <v>0</v>
      </c>
      <c r="U9" s="3">
        <f t="shared" si="7"/>
        <v>0</v>
      </c>
      <c r="V9" s="3">
        <f t="shared" si="8"/>
        <v>0</v>
      </c>
      <c r="W9" s="3">
        <f t="shared" si="9"/>
        <v>1150</v>
      </c>
    </row>
    <row r="10" spans="1:23" x14ac:dyDescent="0.35">
      <c r="A10" s="6" t="s">
        <v>20</v>
      </c>
      <c r="B10" s="6"/>
      <c r="C10" s="6">
        <f>SUM(C5:C9)</f>
        <v>-2340</v>
      </c>
      <c r="D10" s="6">
        <f t="shared" ref="D10:G10" si="14">SUM(D5:D9)</f>
        <v>-2340</v>
      </c>
      <c r="E10" s="6">
        <f t="shared" si="14"/>
        <v>-2340</v>
      </c>
      <c r="F10" s="6">
        <f t="shared" si="14"/>
        <v>-2800</v>
      </c>
      <c r="G10" s="6">
        <f t="shared" si="14"/>
        <v>-2275</v>
      </c>
      <c r="I10" s="6" t="s">
        <v>20</v>
      </c>
      <c r="J10" s="6"/>
      <c r="K10" s="6">
        <f>SUM(K5:K9)</f>
        <v>-2515</v>
      </c>
      <c r="L10" s="6">
        <f t="shared" ref="L10" si="15">SUM(L5:L9)</f>
        <v>-2515</v>
      </c>
      <c r="M10" s="6">
        <f t="shared" ref="M10" si="16">SUM(M5:M9)</f>
        <v>-2515</v>
      </c>
      <c r="N10" s="6">
        <f t="shared" ref="N10" si="17">SUM(N5:N9)</f>
        <v>-2720</v>
      </c>
      <c r="O10" s="6">
        <f t="shared" ref="O10" si="18">SUM(O5:O9)</f>
        <v>-556.25</v>
      </c>
      <c r="Q10" s="6" t="s">
        <v>20</v>
      </c>
      <c r="R10" s="6"/>
      <c r="S10" s="3">
        <f t="shared" si="5"/>
        <v>-175</v>
      </c>
      <c r="T10" s="3">
        <f t="shared" si="6"/>
        <v>-175</v>
      </c>
      <c r="U10" s="3">
        <f t="shared" si="7"/>
        <v>-175</v>
      </c>
      <c r="V10" s="3">
        <f t="shared" si="8"/>
        <v>80</v>
      </c>
      <c r="W10" s="3">
        <f t="shared" si="9"/>
        <v>1718.75</v>
      </c>
    </row>
    <row r="11" spans="1:23" x14ac:dyDescent="0.35">
      <c r="A11" s="3" t="s">
        <v>19</v>
      </c>
      <c r="C11" s="3">
        <f>C10*0.27</f>
        <v>-631.80000000000007</v>
      </c>
      <c r="D11" s="3">
        <f t="shared" ref="D11:G11" si="19">D10*0.27</f>
        <v>-631.80000000000007</v>
      </c>
      <c r="E11" s="3">
        <f t="shared" si="19"/>
        <v>-631.80000000000007</v>
      </c>
      <c r="F11" s="3">
        <f t="shared" si="19"/>
        <v>-756</v>
      </c>
      <c r="G11" s="3">
        <f t="shared" si="19"/>
        <v>-614.25</v>
      </c>
      <c r="I11" s="3" t="s">
        <v>19</v>
      </c>
      <c r="K11" s="3">
        <f>K10*0.27</f>
        <v>-679.05000000000007</v>
      </c>
      <c r="L11" s="3">
        <f t="shared" ref="L11" si="20">L10*0.27</f>
        <v>-679.05000000000007</v>
      </c>
      <c r="M11" s="3">
        <f t="shared" ref="M11" si="21">M10*0.27</f>
        <v>-679.05000000000007</v>
      </c>
      <c r="N11" s="3">
        <f t="shared" ref="N11" si="22">N10*0.27</f>
        <v>-734.40000000000009</v>
      </c>
      <c r="O11" s="3">
        <f t="shared" ref="O11" si="23">O10*0.27</f>
        <v>-150.1875</v>
      </c>
      <c r="Q11" s="3" t="s">
        <v>19</v>
      </c>
      <c r="S11" s="3">
        <f t="shared" si="5"/>
        <v>-47.25</v>
      </c>
      <c r="T11" s="3">
        <f t="shared" si="6"/>
        <v>-47.25</v>
      </c>
      <c r="U11" s="3">
        <f t="shared" si="7"/>
        <v>-47.25</v>
      </c>
      <c r="V11" s="3">
        <f t="shared" si="8"/>
        <v>21.599999999999909</v>
      </c>
      <c r="W11" s="3">
        <f t="shared" si="9"/>
        <v>464.0625</v>
      </c>
    </row>
    <row r="12" spans="1:23" x14ac:dyDescent="0.35">
      <c r="A12" s="6" t="s">
        <v>21</v>
      </c>
      <c r="B12" s="6"/>
      <c r="C12" s="6">
        <f>C10-C11</f>
        <v>-1708.1999999999998</v>
      </c>
      <c r="D12" s="6">
        <f t="shared" ref="D12:G12" si="24">D10-D11</f>
        <v>-1708.1999999999998</v>
      </c>
      <c r="E12" s="6">
        <f t="shared" si="24"/>
        <v>-1708.1999999999998</v>
      </c>
      <c r="F12" s="6">
        <f t="shared" si="24"/>
        <v>-2044</v>
      </c>
      <c r="G12" s="6">
        <f t="shared" si="24"/>
        <v>-1660.75</v>
      </c>
      <c r="I12" s="6" t="s">
        <v>21</v>
      </c>
      <c r="J12" s="6"/>
      <c r="K12" s="6">
        <f>K10-K11</f>
        <v>-1835.9499999999998</v>
      </c>
      <c r="L12" s="6">
        <f t="shared" ref="L12" si="25">L10-L11</f>
        <v>-1835.9499999999998</v>
      </c>
      <c r="M12" s="6">
        <f t="shared" ref="M12" si="26">M10-M11</f>
        <v>-1835.9499999999998</v>
      </c>
      <c r="N12" s="6">
        <f t="shared" ref="N12" si="27">N10-N11</f>
        <v>-1985.6</v>
      </c>
      <c r="O12" s="6">
        <f t="shared" ref="O12" si="28">O10-O11</f>
        <v>-406.0625</v>
      </c>
      <c r="Q12" s="6" t="s">
        <v>21</v>
      </c>
      <c r="R12" s="6"/>
      <c r="S12" s="3">
        <f t="shared" si="5"/>
        <v>-127.75</v>
      </c>
      <c r="T12" s="3">
        <f t="shared" si="6"/>
        <v>-127.75</v>
      </c>
      <c r="U12" s="3">
        <f t="shared" si="7"/>
        <v>-127.75</v>
      </c>
      <c r="V12" s="3">
        <f t="shared" si="8"/>
        <v>58.400000000000091</v>
      </c>
      <c r="W12" s="3">
        <f t="shared" si="9"/>
        <v>1254.6875</v>
      </c>
    </row>
    <row r="13" spans="1:23" x14ac:dyDescent="0.35">
      <c r="S13" s="3">
        <f t="shared" si="5"/>
        <v>0</v>
      </c>
      <c r="T13" s="3">
        <f t="shared" si="6"/>
        <v>0</v>
      </c>
      <c r="U13" s="3">
        <f t="shared" si="7"/>
        <v>0</v>
      </c>
      <c r="V13" s="3">
        <f t="shared" si="8"/>
        <v>0</v>
      </c>
      <c r="W13" s="3">
        <f t="shared" si="9"/>
        <v>0</v>
      </c>
    </row>
    <row r="14" spans="1:23" x14ac:dyDescent="0.35">
      <c r="A14" s="3" t="s">
        <v>23</v>
      </c>
      <c r="G14" s="3">
        <f>0</f>
        <v>0</v>
      </c>
      <c r="I14" s="3" t="s">
        <v>23</v>
      </c>
      <c r="O14" s="3">
        <f>0</f>
        <v>0</v>
      </c>
      <c r="Q14" s="3" t="s">
        <v>23</v>
      </c>
      <c r="S14" s="3">
        <f t="shared" si="5"/>
        <v>0</v>
      </c>
      <c r="T14" s="3">
        <f t="shared" si="6"/>
        <v>0</v>
      </c>
      <c r="U14" s="3">
        <f t="shared" si="7"/>
        <v>0</v>
      </c>
      <c r="V14" s="3">
        <f t="shared" si="8"/>
        <v>0</v>
      </c>
      <c r="W14" s="3">
        <f t="shared" si="9"/>
        <v>0</v>
      </c>
    </row>
    <row r="15" spans="1:23" x14ac:dyDescent="0.35">
      <c r="A15" s="3" t="s">
        <v>22</v>
      </c>
      <c r="C15" s="3">
        <f>-C8</f>
        <v>500</v>
      </c>
      <c r="D15" s="3">
        <f t="shared" ref="D15:F15" si="29">-D8</f>
        <v>500</v>
      </c>
      <c r="E15" s="3">
        <f t="shared" si="29"/>
        <v>500</v>
      </c>
      <c r="F15" s="3">
        <f t="shared" si="29"/>
        <v>500</v>
      </c>
      <c r="I15" s="3" t="s">
        <v>22</v>
      </c>
      <c r="K15" s="3">
        <f>-K8</f>
        <v>875</v>
      </c>
      <c r="L15" s="3">
        <f t="shared" ref="L15:N15" si="30">-L8</f>
        <v>875</v>
      </c>
      <c r="M15" s="3">
        <f t="shared" si="30"/>
        <v>875</v>
      </c>
      <c r="N15" s="3">
        <f t="shared" si="30"/>
        <v>875</v>
      </c>
      <c r="Q15" s="3" t="s">
        <v>22</v>
      </c>
      <c r="S15" s="3">
        <f t="shared" si="5"/>
        <v>375</v>
      </c>
      <c r="T15" s="3">
        <f t="shared" si="6"/>
        <v>375</v>
      </c>
      <c r="U15" s="3">
        <f t="shared" si="7"/>
        <v>375</v>
      </c>
      <c r="V15" s="3">
        <f t="shared" si="8"/>
        <v>375</v>
      </c>
      <c r="W15" s="3">
        <f t="shared" si="9"/>
        <v>0</v>
      </c>
    </row>
    <row r="16" spans="1:23" x14ac:dyDescent="0.35">
      <c r="A16" s="3" t="s">
        <v>12</v>
      </c>
      <c r="B16" s="3">
        <v>-2000</v>
      </c>
      <c r="I16" s="3" t="s">
        <v>12</v>
      </c>
      <c r="J16" s="3">
        <v>-3500</v>
      </c>
      <c r="Q16" s="3" t="s">
        <v>12</v>
      </c>
      <c r="R16" s="3">
        <f t="shared" si="5"/>
        <v>-1500</v>
      </c>
      <c r="S16" s="3">
        <f t="shared" si="5"/>
        <v>0</v>
      </c>
      <c r="T16" s="3">
        <f t="shared" si="6"/>
        <v>0</v>
      </c>
      <c r="U16" s="3">
        <f t="shared" si="7"/>
        <v>0</v>
      </c>
      <c r="V16" s="3">
        <f t="shared" si="8"/>
        <v>0</v>
      </c>
      <c r="W16" s="3">
        <f t="shared" si="9"/>
        <v>0</v>
      </c>
    </row>
    <row r="17" spans="1:23" x14ac:dyDescent="0.35">
      <c r="S17" s="3">
        <f t="shared" ref="R6:S18" si="31">K17-C17</f>
        <v>0</v>
      </c>
      <c r="T17" s="3">
        <f t="shared" ref="T6:T18" si="32">L17-D17</f>
        <v>0</v>
      </c>
      <c r="U17" s="3">
        <f t="shared" ref="U6:U18" si="33">M17-E17</f>
        <v>0</v>
      </c>
      <c r="V17" s="3">
        <f t="shared" ref="V6:V18" si="34">N17-F17</f>
        <v>0</v>
      </c>
      <c r="W17" s="3">
        <f t="shared" ref="W6:W18" si="35">O17-G17</f>
        <v>0</v>
      </c>
    </row>
    <row r="18" spans="1:23" x14ac:dyDescent="0.35">
      <c r="A18" s="3" t="s">
        <v>24</v>
      </c>
      <c r="B18" s="3">
        <f>SUM(B12:B16)</f>
        <v>-2000</v>
      </c>
      <c r="C18" s="3">
        <f t="shared" ref="C18:G18" si="36">SUM(C12:C16)</f>
        <v>-1208.1999999999998</v>
      </c>
      <c r="D18" s="3">
        <f t="shared" si="36"/>
        <v>-1208.1999999999998</v>
      </c>
      <c r="E18" s="3">
        <f t="shared" si="36"/>
        <v>-1208.1999999999998</v>
      </c>
      <c r="F18" s="3">
        <f t="shared" si="36"/>
        <v>-1544</v>
      </c>
      <c r="G18" s="3">
        <f t="shared" si="36"/>
        <v>-1660.75</v>
      </c>
      <c r="I18" s="3" t="s">
        <v>24</v>
      </c>
      <c r="J18" s="3">
        <f>SUM(J12:J16)</f>
        <v>-3500</v>
      </c>
      <c r="K18" s="3">
        <f t="shared" ref="K18:O18" si="37">SUM(K12:K16)</f>
        <v>-960.94999999999982</v>
      </c>
      <c r="L18" s="3">
        <f t="shared" si="37"/>
        <v>-960.94999999999982</v>
      </c>
      <c r="M18" s="3">
        <f t="shared" si="37"/>
        <v>-960.94999999999982</v>
      </c>
      <c r="N18" s="3">
        <f t="shared" si="37"/>
        <v>-1110.5999999999999</v>
      </c>
      <c r="O18" s="3">
        <f t="shared" si="37"/>
        <v>-406.0625</v>
      </c>
      <c r="Q18" s="3" t="s">
        <v>24</v>
      </c>
      <c r="R18" s="3">
        <f>SUM(R12:R16)</f>
        <v>-1500</v>
      </c>
      <c r="S18" s="3">
        <f t="shared" si="31"/>
        <v>247.25</v>
      </c>
      <c r="T18" s="3">
        <f t="shared" si="32"/>
        <v>247.25</v>
      </c>
      <c r="U18" s="3">
        <f t="shared" si="33"/>
        <v>247.25</v>
      </c>
      <c r="V18" s="3">
        <f t="shared" si="34"/>
        <v>433.40000000000009</v>
      </c>
      <c r="W18" s="3">
        <f t="shared" si="35"/>
        <v>1254.6875</v>
      </c>
    </row>
    <row r="20" spans="1:23" x14ac:dyDescent="0.35">
      <c r="A20" s="3" t="s">
        <v>28</v>
      </c>
      <c r="B20" s="3">
        <f>NPV(0.13,C18:G18)+B18</f>
        <v>-6701.0972479871834</v>
      </c>
      <c r="I20" s="3" t="s">
        <v>25</v>
      </c>
      <c r="J20" s="3">
        <f>NPV(0.13,K18:O18)+J18</f>
        <v>-6670.4958243897881</v>
      </c>
      <c r="Q20" s="3" t="s">
        <v>25</v>
      </c>
      <c r="R20" s="3">
        <f>NPV(0.13,S18:W18)+R18</f>
        <v>30.601423597395069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Wladimir Zapata Gutierrez</dc:creator>
  <cp:lastModifiedBy>Alejandro Wladimir Zapata Gutierrez</cp:lastModifiedBy>
  <dcterms:created xsi:type="dcterms:W3CDTF">2026-08-07T15:13:01Z</dcterms:created>
  <dcterms:modified xsi:type="dcterms:W3CDTF">2026-08-13T14:09:41Z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2026-08-07T18:37:11Z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1c19de3a-dd0f-41b5-9b49-2791ef5c40f5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