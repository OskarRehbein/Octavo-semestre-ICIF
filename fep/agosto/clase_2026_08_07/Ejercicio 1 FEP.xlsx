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<sst xmlns="http://schemas.openxmlformats.org/spreadsheetml/2006/main" count="14" uniqueCount="14">
  <si>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Inversion</t>
  </si>
  <si>
    <t>año</t>
  </si>
  <si>
    <t>n vehiculos</t>
  </si>
  <si>
    <t>inversion</t>
  </si>
  <si>
    <t>Consumo el uni</t>
  </si>
  <si>
    <t>mano de obra</t>
  </si>
  <si>
    <t>costo in uni</t>
  </si>
  <si>
    <t>Depreciacio</t>
  </si>
  <si>
    <t>v salvamento</t>
  </si>
  <si>
    <t>utilidad pre imp</t>
  </si>
  <si>
    <t>utilidad pos imp</t>
  </si>
  <si>
    <t>Valor libro</t>
  </si>
  <si>
    <t>ahorro impuesto</t>
  </si>
  <si>
    <t>Depreciacion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</si>
</sst>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>
        <v>2500.0</v>
      </c>
    </row>
    <row r="6">
      <c r="D6" s="1" t="s">
        <v>1</v>
      </c>
      <c r="E6" s="1">
        <v>0.0</v>
      </c>
      <c r="F6" s="1">
        <v>1.0</v>
      </c>
      <c r="G6" s="1">
        <v>2.0</v>
      </c>
      <c r="H6" s="1">
        <v>3.0</v>
      </c>
      <c r="I6" s="1">
        <v>4.0</v>
      </c>
      <c r="J6" s="1">
        <v>5.0</v>
      </c>
    </row>
    <row r="7">
      <c r="D7" s="1" t="s">
        <v>2</v>
      </c>
      <c r="E7" s="1">
        <v>200.0</v>
      </c>
      <c r="F7" s="1">
        <v>200.0</v>
      </c>
      <c r="G7" s="1">
        <v>200.0</v>
      </c>
      <c r="H7" s="1">
        <v>200.0</v>
      </c>
      <c r="I7" s="1">
        <v>250.0</v>
      </c>
      <c r="J7" s="1">
        <v>313.0</v>
      </c>
    </row>
    <row r="8">
      <c r="D8" s="1" t="s">
        <v>3</v>
      </c>
      <c r="E8" s="1">
        <v>2000.0</v>
      </c>
    </row>
    <row r="9">
      <c r="D9" s="1" t="s">
        <v>4</v>
      </c>
      <c r="E9" s="1">
        <v>0.8</v>
      </c>
      <c r="F9" s="2">
        <f t="shared" ref="F9:J9" si="1">-$E$9*F7</f>
        <v>-160</v>
      </c>
      <c r="G9" s="2">
        <f t="shared" si="1"/>
        <v>-160</v>
      </c>
      <c r="H9" s="2">
        <f t="shared" si="1"/>
        <v>-160</v>
      </c>
      <c r="I9" s="2">
        <f t="shared" si="1"/>
        <v>-200</v>
      </c>
      <c r="J9" s="2">
        <f t="shared" si="1"/>
        <v>-250.4</v>
      </c>
    </row>
    <row r="10">
      <c r="D10" s="1" t="s">
        <v>5</v>
      </c>
      <c r="E10" s="1">
        <v>3.0</v>
      </c>
      <c r="F10" s="2">
        <f t="shared" ref="F10:J10" si="2">-$E$10*F7</f>
        <v>-600</v>
      </c>
      <c r="G10" s="2">
        <f t="shared" si="2"/>
        <v>-600</v>
      </c>
      <c r="H10" s="2">
        <f t="shared" si="2"/>
        <v>-600</v>
      </c>
      <c r="I10" s="2">
        <f t="shared" si="2"/>
        <v>-750</v>
      </c>
      <c r="J10" s="2">
        <f t="shared" si="2"/>
        <v>-939</v>
      </c>
    </row>
    <row r="11">
      <c r="D11" s="1" t="s">
        <v>6</v>
      </c>
      <c r="E11" s="1">
        <v>5.4</v>
      </c>
      <c r="F11" s="2">
        <f t="shared" ref="F11:J11" si="3">-$E$11*F7</f>
        <v>-1080</v>
      </c>
      <c r="G11" s="2">
        <f t="shared" si="3"/>
        <v>-1080</v>
      </c>
      <c r="H11" s="2">
        <f t="shared" si="3"/>
        <v>-1080</v>
      </c>
      <c r="I11" s="2">
        <f t="shared" si="3"/>
        <v>-1350</v>
      </c>
      <c r="J11" s="2">
        <f t="shared" si="3"/>
        <v>-1690.2</v>
      </c>
    </row>
    <row r="12">
      <c r="D12" s="1" t="s">
        <v>7</v>
      </c>
      <c r="F12" s="1">
        <f t="shared" ref="F12:I12" si="4">-2000*0.25</f>
        <v>-500</v>
      </c>
      <c r="G12" s="1">
        <f t="shared" si="4"/>
        <v>-500</v>
      </c>
      <c r="H12" s="1">
        <f t="shared" si="4"/>
        <v>-500</v>
      </c>
      <c r="I12" s="1">
        <f t="shared" si="4"/>
        <v>-500</v>
      </c>
      <c r="J12" s="1">
        <v>0.0</v>
      </c>
    </row>
    <row r="13">
      <c r="D13" s="1" t="s">
        <v>8</v>
      </c>
      <c r="J13" s="1">
        <f>2000*0.3</f>
        <v>600</v>
      </c>
    </row>
    <row r="14">
      <c r="D14" s="1" t="s">
        <v>9</v>
      </c>
      <c r="F14" s="2">
        <f t="shared" ref="F14:I14" si="5">F12+F11+F10+F9</f>
        <v>-2340</v>
      </c>
      <c r="G14" s="2">
        <f t="shared" si="5"/>
        <v>-2340</v>
      </c>
      <c r="H14" s="2">
        <f t="shared" si="5"/>
        <v>-2340</v>
      </c>
      <c r="I14" s="2">
        <f t="shared" si="5"/>
        <v>-2800</v>
      </c>
      <c r="J14" s="2">
        <f>J12+J11+J10+J9+J13</f>
        <v>-2279.6</v>
      </c>
    </row>
    <row r="15">
      <c r="D15" s="1" t="s">
        <v>10</v>
      </c>
      <c r="F15" s="2">
        <f t="shared" ref="F15:J15" si="6">F14-F17</f>
        <v>-1708.2</v>
      </c>
      <c r="G15" s="2">
        <f t="shared" si="6"/>
        <v>-1708.2</v>
      </c>
      <c r="H15" s="2">
        <f t="shared" si="6"/>
        <v>-1708.2</v>
      </c>
      <c r="I15" s="2">
        <f t="shared" si="6"/>
        <v>-2044</v>
      </c>
      <c r="J15" s="2">
        <f t="shared" si="6"/>
        <v>-1664.108</v>
      </c>
    </row>
    <row r="16">
      <c r="D16" s="1" t="s">
        <v>11</v>
      </c>
      <c r="J16" s="1">
        <v>0.0</v>
      </c>
    </row>
    <row r="17">
      <c r="D17" s="1" t="s">
        <v>12</v>
      </c>
      <c r="F17" s="2">
        <f t="shared" ref="F17:J17" si="7">F14*0.27</f>
        <v>-631.8</v>
      </c>
      <c r="G17" s="2">
        <f t="shared" si="7"/>
        <v>-631.8</v>
      </c>
      <c r="H17" s="2">
        <f t="shared" si="7"/>
        <v>-631.8</v>
      </c>
      <c r="I17" s="2">
        <f t="shared" si="7"/>
        <v>-756</v>
      </c>
      <c r="J17" s="2">
        <f t="shared" si="7"/>
        <v>-615.492</v>
      </c>
    </row>
    <row r="18">
      <c r="D18" s="1" t="s">
        <v>13</v>
      </c>
    </row>
  </sheetData>
  <drawing r:id="rId1"/>
</worksheet>
</file>